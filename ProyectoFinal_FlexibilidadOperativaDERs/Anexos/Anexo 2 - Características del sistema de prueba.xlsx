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ologia general" sheetId="1" r:id="rId4"/>
    <sheet state="visible" name="Líneas" sheetId="2" r:id="rId5"/>
    <sheet state="visible" name="Trafos" sheetId="3" r:id="rId6"/>
    <sheet state="visible" name="Cargas" sheetId="4" r:id="rId7"/>
    <sheet state="visible" name="Elementos de compensaciónRegula" sheetId="5" r:id="rId8"/>
    <sheet state="visible" name="REDs" sheetId="6" r:id="rId9"/>
  </sheets>
  <definedNames/>
  <calcPr/>
  <extLst>
    <ext uri="GoogleSheetsCustomDataVersion1">
      <go:sheetsCustomData xmlns:go="http://customooxmlschemas.google.com/" r:id="rId10" roundtripDataSignature="AMtx7mh0pExDPMWbZr9n5n6ELMs81FUg3w=="/>
    </ext>
  </extLst>
</workbook>
</file>

<file path=xl/sharedStrings.xml><?xml version="1.0" encoding="utf-8"?>
<sst xmlns="http://schemas.openxmlformats.org/spreadsheetml/2006/main" count="120" uniqueCount="82">
  <si>
    <t>Tomado de: TrabalhoFormatura-PauloRadatz</t>
  </si>
  <si>
    <t>Número de la configuración</t>
  </si>
  <si>
    <t>Secuencia de fase</t>
  </si>
  <si>
    <t>Conductor de fase</t>
  </si>
  <si>
    <t>Conductor de neutro</t>
  </si>
  <si>
    <t>Disposición física</t>
  </si>
  <si>
    <t xml:space="preserve">Tipo de </t>
  </si>
  <si>
    <t>ACSR</t>
  </si>
  <si>
    <t>ID</t>
  </si>
  <si>
    <t>Línea</t>
  </si>
  <si>
    <t>B A C N</t>
  </si>
  <si>
    <t>556, 500 26/7</t>
  </si>
  <si>
    <t>4/0 6/1</t>
  </si>
  <si>
    <t xml:space="preserve">Aérea </t>
  </si>
  <si>
    <t>C A B N</t>
  </si>
  <si>
    <t>C B N</t>
  </si>
  <si>
    <t>1/0</t>
  </si>
  <si>
    <t>A C N</t>
  </si>
  <si>
    <t>C N</t>
  </si>
  <si>
    <t>A B C N</t>
  </si>
  <si>
    <t>250, 000 AA, CN</t>
  </si>
  <si>
    <t>NA</t>
  </si>
  <si>
    <t>Subterránea</t>
  </si>
  <si>
    <t>A N</t>
  </si>
  <si>
    <t>1/0 AA, TS</t>
  </si>
  <si>
    <t>1/0 Cu</t>
  </si>
  <si>
    <t>Barra i</t>
  </si>
  <si>
    <t>Barra j</t>
  </si>
  <si>
    <t>Longitud  [km]</t>
  </si>
  <si>
    <t>Configuración</t>
  </si>
  <si>
    <t>Nombre del transformador</t>
  </si>
  <si>
    <t>Potencia [KVA]</t>
  </si>
  <si>
    <t>Tensión primario [KV]</t>
  </si>
  <si>
    <t>Tensión secundario [KV]</t>
  </si>
  <si>
    <t>R(%)</t>
  </si>
  <si>
    <t xml:space="preserve"> x(%)</t>
  </si>
  <si>
    <t>Subestación</t>
  </si>
  <si>
    <t>Dyn</t>
  </si>
  <si>
    <t>XFM-1</t>
  </si>
  <si>
    <t>Carga concentrada</t>
  </si>
  <si>
    <t>Carga distribuida</t>
  </si>
  <si>
    <t xml:space="preserve">Barraje </t>
  </si>
  <si>
    <t>Carga</t>
  </si>
  <si>
    <t>Fase A</t>
  </si>
  <si>
    <t>Fase B</t>
  </si>
  <si>
    <t>Fase C</t>
  </si>
  <si>
    <t>Tramo</t>
  </si>
  <si>
    <t>Conexión- Modelo</t>
  </si>
  <si>
    <t>kW</t>
  </si>
  <si>
    <t>kVAr</t>
  </si>
  <si>
    <t>Y-PQ</t>
  </si>
  <si>
    <t>632-671</t>
  </si>
  <si>
    <t>D-Z</t>
  </si>
  <si>
    <t>Y-Z</t>
  </si>
  <si>
    <t>D-PQ</t>
  </si>
  <si>
    <t>D-I</t>
  </si>
  <si>
    <t>Y-I</t>
  </si>
  <si>
    <t>COMPENSACIÓN REACTIVA</t>
  </si>
  <si>
    <t>REGULADOR</t>
  </si>
  <si>
    <t>Fase A (kVAR)</t>
  </si>
  <si>
    <t>Fase B (kVAR)</t>
  </si>
  <si>
    <t>Fase C (kVAR)</t>
  </si>
  <si>
    <t>Regulador ID</t>
  </si>
  <si>
    <t>Tramo de ubicación</t>
  </si>
  <si>
    <t>650-632</t>
  </si>
  <si>
    <t>Localización</t>
  </si>
  <si>
    <t>A B C</t>
  </si>
  <si>
    <t xml:space="preserve">Conexión </t>
  </si>
  <si>
    <t>Estrella aterrizada</t>
  </si>
  <si>
    <t>Ajustes de compensador</t>
  </si>
  <si>
    <t>R[pu]</t>
  </si>
  <si>
    <t>X[pu]</t>
  </si>
  <si>
    <t xml:space="preserve">Nivel de tensión </t>
  </si>
  <si>
    <t>Implementación en almacenamiento</t>
  </si>
  <si>
    <t>Implementacion Generación solar</t>
  </si>
  <si>
    <t>Hora</t>
  </si>
  <si>
    <t>Comportamiento almacenamiento</t>
  </si>
  <si>
    <t>Comportamiento generación</t>
  </si>
  <si>
    <t>Potencia pico kW</t>
  </si>
  <si>
    <t>Potencia pico [kW]</t>
  </si>
  <si>
    <t>Capacidad kWh</t>
  </si>
  <si>
    <t>Potencia nominal transformador [kVA]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</si>
</sst>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rial"/>
    </font>
    <font>
      <sz val="18.0"/>
      <color theme="1"/>
      <name val="Times New Roman"/>
    </font>
    <font>
      <b/>
      <sz val="12.0"/>
      <color theme="1"/>
      <name val="Arial"/>
    </font>
    <font/>
    <font>
      <sz val="12.0"/>
      <color theme="1"/>
      <name val="Arial"/>
    </font>
    <font>
      <color theme="1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color theme="1"/>
      <name val="Calibri"/>
    </font>
    <font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/>
    </xf>
    <xf borderId="3" fillId="2" fontId="2" numFmtId="0" xfId="0" applyAlignment="1" applyBorder="1" applyFont="1">
      <alignment horizontal="center"/>
    </xf>
    <xf borderId="4" fillId="0" fontId="3" numFmtId="0" xfId="0" applyBorder="1" applyFont="1"/>
    <xf borderId="5" fillId="2" fontId="2" numFmtId="0" xfId="0" applyAlignment="1" applyBorder="1" applyFont="1">
      <alignment horizontal="center"/>
    </xf>
    <xf borderId="6" fillId="2" fontId="2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7" fillId="2" fontId="2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7" fillId="2" fontId="2" numFmtId="0" xfId="0" applyAlignment="1" applyBorder="1" applyFont="1">
      <alignment horizontal="center"/>
    </xf>
    <xf borderId="7" fillId="0" fontId="5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8" fillId="2" fontId="2" numFmtId="0" xfId="0" applyAlignment="1" applyBorder="1" applyFont="1">
      <alignment horizontal="center"/>
    </xf>
    <xf borderId="9" fillId="0" fontId="3" numFmtId="0" xfId="0" applyBorder="1" applyFont="1"/>
    <xf borderId="0" fillId="0" fontId="6" numFmtId="0" xfId="0" applyFont="1"/>
    <xf borderId="1" fillId="2" fontId="7" numFmtId="0" xfId="0" applyAlignment="1" applyBorder="1" applyFont="1">
      <alignment horizontal="center" vertical="center"/>
    </xf>
    <xf borderId="7" fillId="2" fontId="7" numFmtId="0" xfId="0" applyAlignment="1" applyBorder="1" applyFont="1">
      <alignment horizontal="center"/>
    </xf>
    <xf borderId="8" fillId="2" fontId="7" numFmtId="0" xfId="0" applyAlignment="1" applyBorder="1" applyFont="1">
      <alignment horizontal="center"/>
    </xf>
    <xf borderId="7" fillId="0" fontId="6" numFmtId="0" xfId="0" applyAlignment="1" applyBorder="1" applyFont="1">
      <alignment horizontal="center"/>
    </xf>
    <xf borderId="0" fillId="0" fontId="5" numFmtId="0" xfId="0" applyFont="1"/>
    <xf borderId="0" fillId="0" fontId="8" numFmtId="0" xfId="0" applyAlignment="1" applyFont="1">
      <alignment horizontal="center" readingOrder="0"/>
    </xf>
    <xf borderId="7" fillId="0" fontId="2" numFmtId="0" xfId="0" applyAlignment="1" applyBorder="1" applyFont="1">
      <alignment horizontal="center"/>
    </xf>
    <xf borderId="7" fillId="0" fontId="8" numFmtId="0" xfId="0" applyBorder="1" applyFont="1"/>
    <xf borderId="8" fillId="0" fontId="5" numFmtId="0" xfId="0" applyAlignment="1" applyBorder="1" applyFont="1">
      <alignment horizontal="center"/>
    </xf>
    <xf borderId="10" fillId="0" fontId="3" numFmtId="0" xfId="0" applyBorder="1" applyFont="1"/>
    <xf borderId="0" fillId="0" fontId="9" numFmtId="0" xfId="0" applyAlignment="1" applyFont="1">
      <alignment vertical="bottom"/>
    </xf>
    <xf borderId="8" fillId="0" fontId="9" numFmtId="0" xfId="0" applyAlignment="1" applyBorder="1" applyFont="1">
      <alignment vertical="bottom"/>
    </xf>
    <xf borderId="7" fillId="0" fontId="9" numFmtId="0" xfId="0" applyAlignment="1" applyBorder="1" applyFont="1">
      <alignment vertical="bottom"/>
    </xf>
    <xf borderId="7" fillId="0" fontId="9" numFmtId="0" xfId="0" applyAlignment="1" applyBorder="1" applyFont="1">
      <alignment horizontal="right" vertical="bottom"/>
    </xf>
    <xf borderId="7" fillId="0" fontId="9" numFmtId="0" xfId="0" applyAlignment="1" applyBorder="1" applyFont="1">
      <alignment horizontal="center" vertical="bottom"/>
    </xf>
    <xf borderId="7" fillId="0" fontId="10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-190500</xdr:rowOff>
    </xdr:from>
    <xdr:ext cx="13830300" cy="113728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142875</xdr:rowOff>
    </xdr:from>
    <xdr:ext cx="5715000" cy="3533775"/>
    <xdr:pic>
      <xdr:nvPicPr>
        <xdr:cNvPr id="1835905331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104775</xdr:rowOff>
    </xdr:from>
    <xdr:ext cx="5715000" cy="3533775"/>
    <xdr:pic>
      <xdr:nvPicPr>
        <xdr:cNvPr id="750183198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9.38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>
      <c r="C32" s="1" t="s">
        <v>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21.13"/>
    <col customWidth="1" min="3" max="3" width="19.63"/>
    <col customWidth="1" min="4" max="4" width="18.38"/>
    <col customWidth="1" min="5" max="5" width="25.5"/>
    <col customWidth="1" min="6" max="6" width="20.63"/>
    <col customWidth="1" min="7" max="7" width="16.63"/>
    <col customWidth="1" min="8" max="26" width="9.38"/>
  </cols>
  <sheetData>
    <row r="3">
      <c r="B3" s="2" t="s">
        <v>1</v>
      </c>
      <c r="C3" s="3" t="s">
        <v>2</v>
      </c>
      <c r="D3" s="4" t="s">
        <v>3</v>
      </c>
      <c r="E3" s="5" t="s">
        <v>4</v>
      </c>
      <c r="F3" s="4" t="s">
        <v>5</v>
      </c>
      <c r="G3" s="5" t="s">
        <v>6</v>
      </c>
    </row>
    <row r="4">
      <c r="B4" s="6"/>
      <c r="C4" s="6"/>
      <c r="D4" s="7" t="s">
        <v>7</v>
      </c>
      <c r="E4" s="8" t="s">
        <v>7</v>
      </c>
      <c r="F4" s="7" t="s">
        <v>8</v>
      </c>
      <c r="G4" s="8" t="s">
        <v>9</v>
      </c>
    </row>
    <row r="5">
      <c r="B5" s="9">
        <v>601.0</v>
      </c>
      <c r="C5" s="9" t="s">
        <v>10</v>
      </c>
      <c r="D5" s="9" t="s">
        <v>11</v>
      </c>
      <c r="E5" s="9" t="s">
        <v>12</v>
      </c>
      <c r="F5" s="9">
        <v>500.0</v>
      </c>
      <c r="G5" s="9" t="s">
        <v>13</v>
      </c>
    </row>
    <row r="6">
      <c r="B6" s="9">
        <v>602.0</v>
      </c>
      <c r="C6" s="9" t="s">
        <v>14</v>
      </c>
      <c r="D6" s="9" t="s">
        <v>12</v>
      </c>
      <c r="E6" s="9" t="s">
        <v>12</v>
      </c>
      <c r="F6" s="9">
        <v>500.0</v>
      </c>
      <c r="G6" s="9" t="s">
        <v>13</v>
      </c>
    </row>
    <row r="7">
      <c r="B7" s="9">
        <v>603.0</v>
      </c>
      <c r="C7" s="9" t="s">
        <v>15</v>
      </c>
      <c r="D7" s="9" t="s">
        <v>16</v>
      </c>
      <c r="E7" s="9" t="s">
        <v>16</v>
      </c>
      <c r="F7" s="9">
        <v>505.0</v>
      </c>
      <c r="G7" s="9" t="s">
        <v>13</v>
      </c>
    </row>
    <row r="8">
      <c r="B8" s="9">
        <v>604.0</v>
      </c>
      <c r="C8" s="9" t="s">
        <v>17</v>
      </c>
      <c r="D8" s="9" t="s">
        <v>16</v>
      </c>
      <c r="E8" s="9" t="s">
        <v>16</v>
      </c>
      <c r="F8" s="9">
        <v>505.0</v>
      </c>
      <c r="G8" s="9" t="s">
        <v>13</v>
      </c>
    </row>
    <row r="9">
      <c r="B9" s="9">
        <v>605.0</v>
      </c>
      <c r="C9" s="9" t="s">
        <v>18</v>
      </c>
      <c r="D9" s="9" t="s">
        <v>16</v>
      </c>
      <c r="E9" s="9" t="s">
        <v>16</v>
      </c>
      <c r="F9" s="9">
        <v>510.0</v>
      </c>
      <c r="G9" s="9" t="s">
        <v>13</v>
      </c>
    </row>
    <row r="10">
      <c r="B10" s="9">
        <v>606.0</v>
      </c>
      <c r="C10" s="9" t="s">
        <v>19</v>
      </c>
      <c r="D10" s="9" t="s">
        <v>20</v>
      </c>
      <c r="E10" s="9" t="s">
        <v>21</v>
      </c>
      <c r="F10" s="9">
        <v>515.0</v>
      </c>
      <c r="G10" s="9" t="s">
        <v>22</v>
      </c>
    </row>
    <row r="11">
      <c r="B11" s="9">
        <v>607.0</v>
      </c>
      <c r="C11" s="9" t="s">
        <v>23</v>
      </c>
      <c r="D11" s="9" t="s">
        <v>24</v>
      </c>
      <c r="E11" s="9" t="s">
        <v>25</v>
      </c>
      <c r="F11" s="9">
        <v>520.0</v>
      </c>
      <c r="G11" s="9" t="s">
        <v>22</v>
      </c>
    </row>
    <row r="14" ht="18.75" customHeight="1">
      <c r="B14" s="10" t="s">
        <v>26</v>
      </c>
      <c r="C14" s="10" t="s">
        <v>27</v>
      </c>
      <c r="D14" s="10" t="s">
        <v>28</v>
      </c>
      <c r="E14" s="10" t="s">
        <v>29</v>
      </c>
    </row>
    <row r="15">
      <c r="B15" s="11">
        <v>632.0</v>
      </c>
      <c r="C15" s="11">
        <v>645.0</v>
      </c>
      <c r="D15" s="11">
        <v>0.1524</v>
      </c>
      <c r="E15" s="11">
        <v>603.0</v>
      </c>
    </row>
    <row r="16">
      <c r="B16" s="11">
        <v>632.0</v>
      </c>
      <c r="C16" s="11">
        <v>633.0</v>
      </c>
      <c r="D16" s="11">
        <v>0.1524</v>
      </c>
      <c r="E16" s="11">
        <v>602.0</v>
      </c>
    </row>
    <row r="17">
      <c r="B17" s="11">
        <v>645.0</v>
      </c>
      <c r="C17" s="11">
        <v>646.0</v>
      </c>
      <c r="D17" s="11">
        <v>0.0914</v>
      </c>
      <c r="E17" s="11">
        <v>603.0</v>
      </c>
    </row>
    <row r="18">
      <c r="B18" s="11">
        <v>650.0</v>
      </c>
      <c r="C18" s="11">
        <v>632.0</v>
      </c>
      <c r="D18" s="11">
        <v>0.6096</v>
      </c>
      <c r="E18" s="11">
        <v>601.0</v>
      </c>
    </row>
    <row r="19">
      <c r="B19" s="11">
        <v>684.0</v>
      </c>
      <c r="C19" s="11">
        <v>652.0</v>
      </c>
      <c r="D19" s="11">
        <v>0.2438</v>
      </c>
      <c r="E19" s="11">
        <v>607.0</v>
      </c>
    </row>
    <row r="20">
      <c r="B20" s="11">
        <v>632.0</v>
      </c>
      <c r="C20" s="11">
        <v>671.0</v>
      </c>
      <c r="D20" s="11">
        <v>0.6096</v>
      </c>
      <c r="E20" s="11">
        <v>601.0</v>
      </c>
    </row>
    <row r="21" ht="15.75" customHeight="1">
      <c r="B21" s="11">
        <v>671.0</v>
      </c>
      <c r="C21" s="11">
        <v>684.0</v>
      </c>
      <c r="D21" s="11">
        <v>0.0914</v>
      </c>
      <c r="E21" s="11">
        <v>604.0</v>
      </c>
    </row>
    <row r="22" ht="15.75" customHeight="1">
      <c r="B22" s="11">
        <v>671.0</v>
      </c>
      <c r="C22" s="11">
        <v>680.0</v>
      </c>
      <c r="D22" s="11">
        <v>0.3048</v>
      </c>
      <c r="E22" s="11">
        <v>601.0</v>
      </c>
    </row>
    <row r="23" ht="15.75" customHeight="1">
      <c r="B23" s="11">
        <v>684.0</v>
      </c>
      <c r="C23" s="11">
        <v>611.0</v>
      </c>
      <c r="D23" s="11">
        <v>0.0914</v>
      </c>
      <c r="E23" s="11">
        <v>605.0</v>
      </c>
    </row>
    <row r="24" ht="15.75" customHeight="1">
      <c r="B24" s="11">
        <v>692.0</v>
      </c>
      <c r="C24" s="11">
        <v>675.0</v>
      </c>
      <c r="D24" s="11">
        <v>0.1524</v>
      </c>
      <c r="E24" s="11">
        <v>606.0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3:B4"/>
    <mergeCell ref="C3:C4"/>
  </mergeCells>
  <printOptions/>
  <pageMargins bottom="0.75" footer="0.0" header="0.0" left="0.7" right="0.7" top="0.75"/>
  <pageSetup scale="74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7.75"/>
    <col customWidth="1" min="3" max="3" width="16.63"/>
    <col customWidth="1" min="4" max="4" width="21.5"/>
    <col customWidth="1" min="5" max="5" width="28.5"/>
    <col customWidth="1" min="6" max="6" width="14.38"/>
    <col customWidth="1" min="7" max="7" width="6.5"/>
    <col customWidth="1" min="8" max="26" width="9.38"/>
  </cols>
  <sheetData>
    <row r="3">
      <c r="B3" s="10" t="s">
        <v>30</v>
      </c>
      <c r="C3" s="10" t="s">
        <v>31</v>
      </c>
      <c r="D3" s="10" t="s">
        <v>32</v>
      </c>
      <c r="E3" s="10" t="s">
        <v>33</v>
      </c>
      <c r="F3" s="10" t="s">
        <v>29</v>
      </c>
      <c r="G3" s="10" t="s">
        <v>34</v>
      </c>
      <c r="H3" s="12" t="s">
        <v>35</v>
      </c>
    </row>
    <row r="4">
      <c r="B4" s="11" t="s">
        <v>36</v>
      </c>
      <c r="C4" s="11">
        <v>5000.0</v>
      </c>
      <c r="D4" s="11">
        <v>115.0</v>
      </c>
      <c r="E4" s="11">
        <v>4.16</v>
      </c>
      <c r="F4" s="11" t="s">
        <v>37</v>
      </c>
      <c r="G4" s="11">
        <v>1.0</v>
      </c>
      <c r="H4" s="13">
        <v>8.0</v>
      </c>
    </row>
    <row r="5">
      <c r="B5" s="11" t="s">
        <v>38</v>
      </c>
      <c r="C5" s="11">
        <v>500.0</v>
      </c>
      <c r="D5" s="11">
        <v>4.16</v>
      </c>
      <c r="E5" s="11">
        <v>0.48</v>
      </c>
      <c r="F5" s="11" t="s">
        <v>37</v>
      </c>
      <c r="G5" s="11">
        <v>1.1</v>
      </c>
      <c r="H5" s="13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9.38"/>
    <col customWidth="1" min="3" max="3" width="23.25"/>
    <col customWidth="1" min="4" max="4" width="9.63"/>
    <col customWidth="1" min="5" max="11" width="9.38"/>
    <col customWidth="1" min="12" max="12" width="19.25"/>
    <col customWidth="1" min="13" max="26" width="9.38"/>
  </cols>
  <sheetData>
    <row r="3">
      <c r="B3" s="14" t="s">
        <v>39</v>
      </c>
      <c r="K3" s="14" t="s">
        <v>40</v>
      </c>
    </row>
    <row r="5">
      <c r="B5" s="3" t="s">
        <v>41</v>
      </c>
      <c r="C5" s="12" t="s">
        <v>42</v>
      </c>
      <c r="D5" s="15" t="s">
        <v>43</v>
      </c>
      <c r="E5" s="16"/>
      <c r="F5" s="15" t="s">
        <v>44</v>
      </c>
      <c r="G5" s="16"/>
      <c r="H5" s="15" t="s">
        <v>45</v>
      </c>
      <c r="I5" s="16"/>
      <c r="J5" s="17"/>
      <c r="K5" s="18" t="s">
        <v>46</v>
      </c>
      <c r="L5" s="19" t="s">
        <v>42</v>
      </c>
      <c r="M5" s="20" t="s">
        <v>43</v>
      </c>
      <c r="N5" s="16"/>
      <c r="O5" s="20" t="s">
        <v>44</v>
      </c>
      <c r="P5" s="16"/>
      <c r="Q5" s="20" t="s">
        <v>45</v>
      </c>
      <c r="R5" s="16"/>
      <c r="S5" s="17"/>
      <c r="T5" s="17"/>
      <c r="U5" s="17"/>
    </row>
    <row r="6">
      <c r="B6" s="6"/>
      <c r="C6" s="12" t="s">
        <v>47</v>
      </c>
      <c r="D6" s="12" t="s">
        <v>48</v>
      </c>
      <c r="E6" s="12" t="s">
        <v>49</v>
      </c>
      <c r="F6" s="12" t="s">
        <v>48</v>
      </c>
      <c r="G6" s="12" t="s">
        <v>49</v>
      </c>
      <c r="H6" s="12" t="s">
        <v>48</v>
      </c>
      <c r="I6" s="12" t="s">
        <v>49</v>
      </c>
      <c r="J6" s="17"/>
      <c r="K6" s="6"/>
      <c r="L6" s="19" t="s">
        <v>47</v>
      </c>
      <c r="M6" s="19" t="s">
        <v>48</v>
      </c>
      <c r="N6" s="19" t="s">
        <v>49</v>
      </c>
      <c r="O6" s="19" t="s">
        <v>48</v>
      </c>
      <c r="P6" s="19" t="s">
        <v>49</v>
      </c>
      <c r="Q6" s="19" t="s">
        <v>48</v>
      </c>
      <c r="R6" s="19" t="s">
        <v>49</v>
      </c>
      <c r="S6" s="17"/>
      <c r="T6" s="17"/>
      <c r="U6" s="17"/>
    </row>
    <row r="7">
      <c r="B7" s="9">
        <v>634.0</v>
      </c>
      <c r="C7" s="9" t="s">
        <v>50</v>
      </c>
      <c r="D7" s="9">
        <v>160.0</v>
      </c>
      <c r="E7" s="9">
        <v>110.0</v>
      </c>
      <c r="F7" s="9">
        <v>120.0</v>
      </c>
      <c r="G7" s="9">
        <v>90.0</v>
      </c>
      <c r="H7" s="9">
        <v>120.0</v>
      </c>
      <c r="I7" s="9">
        <v>90.0</v>
      </c>
      <c r="J7" s="17"/>
      <c r="K7" s="21" t="s">
        <v>51</v>
      </c>
      <c r="L7" s="21" t="s">
        <v>50</v>
      </c>
      <c r="M7" s="21">
        <v>17.0</v>
      </c>
      <c r="N7" s="21">
        <v>10.0</v>
      </c>
      <c r="O7" s="21">
        <v>66.0</v>
      </c>
      <c r="P7" s="21">
        <v>38.0</v>
      </c>
      <c r="Q7" s="21">
        <v>117.0</v>
      </c>
      <c r="R7" s="21">
        <v>68.0</v>
      </c>
      <c r="S7" s="17"/>
      <c r="T7" s="17"/>
      <c r="U7" s="17"/>
    </row>
    <row r="8">
      <c r="B8" s="9">
        <v>345.0</v>
      </c>
      <c r="C8" s="9" t="s">
        <v>50</v>
      </c>
      <c r="D8" s="9">
        <v>0.0</v>
      </c>
      <c r="E8" s="9">
        <v>0.0</v>
      </c>
      <c r="F8" s="9">
        <v>170.0</v>
      </c>
      <c r="G8" s="9">
        <v>125.0</v>
      </c>
      <c r="H8" s="9">
        <v>0.0</v>
      </c>
      <c r="I8" s="9">
        <v>0.0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</row>
    <row r="9">
      <c r="B9" s="9">
        <v>646.0</v>
      </c>
      <c r="C9" s="9" t="s">
        <v>52</v>
      </c>
      <c r="D9" s="9">
        <v>0.0</v>
      </c>
      <c r="E9" s="9">
        <v>0.0</v>
      </c>
      <c r="F9" s="9">
        <v>230.0</v>
      </c>
      <c r="G9" s="9">
        <v>132.0</v>
      </c>
      <c r="H9" s="9">
        <v>0.0</v>
      </c>
      <c r="I9" s="9">
        <v>0.0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</row>
    <row r="10">
      <c r="B10" s="9">
        <v>652.0</v>
      </c>
      <c r="C10" s="9" t="s">
        <v>53</v>
      </c>
      <c r="D10" s="9">
        <v>128.0</v>
      </c>
      <c r="E10" s="9">
        <v>86.0</v>
      </c>
      <c r="F10" s="9">
        <v>0.0</v>
      </c>
      <c r="G10" s="9">
        <v>0.0</v>
      </c>
      <c r="H10" s="9">
        <v>0.0</v>
      </c>
      <c r="I10" s="9">
        <v>0.0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</row>
    <row r="11">
      <c r="B11" s="9">
        <v>671.0</v>
      </c>
      <c r="C11" s="9" t="s">
        <v>54</v>
      </c>
      <c r="D11" s="9">
        <v>385.0</v>
      </c>
      <c r="E11" s="9">
        <v>220.0</v>
      </c>
      <c r="F11" s="9">
        <v>385.0</v>
      </c>
      <c r="G11" s="9">
        <v>220.0</v>
      </c>
      <c r="H11" s="9">
        <v>385.0</v>
      </c>
      <c r="I11" s="9">
        <v>330.0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>
      <c r="B12" s="9">
        <v>675.0</v>
      </c>
      <c r="C12" s="9" t="s">
        <v>50</v>
      </c>
      <c r="D12" s="9">
        <v>485.0</v>
      </c>
      <c r="E12" s="9">
        <v>190.0</v>
      </c>
      <c r="F12" s="9">
        <v>68.0</v>
      </c>
      <c r="G12" s="9">
        <v>60.0</v>
      </c>
      <c r="H12" s="9">
        <v>290.0</v>
      </c>
      <c r="I12" s="9">
        <v>212.0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>
      <c r="B13" s="9">
        <v>692.0</v>
      </c>
      <c r="C13" s="9" t="s">
        <v>55</v>
      </c>
      <c r="D13" s="9">
        <v>0.0</v>
      </c>
      <c r="E13" s="9">
        <v>0.0</v>
      </c>
      <c r="F13" s="9">
        <v>0.0</v>
      </c>
      <c r="G13" s="9">
        <v>0.0</v>
      </c>
      <c r="H13" s="9">
        <v>170.0</v>
      </c>
      <c r="I13" s="9">
        <v>151.0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>
      <c r="B14" s="9">
        <v>611.0</v>
      </c>
      <c r="C14" s="9" t="s">
        <v>56</v>
      </c>
      <c r="D14" s="9">
        <v>0.0</v>
      </c>
      <c r="E14" s="9">
        <v>0.0</v>
      </c>
      <c r="F14" s="9">
        <v>0.0</v>
      </c>
      <c r="G14" s="9">
        <v>0.0</v>
      </c>
      <c r="H14" s="9">
        <v>170.0</v>
      </c>
      <c r="I14" s="9">
        <v>80.0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>
      <c r="D15" s="22">
        <f t="shared" ref="D15:I15" si="1">SUM(D7:D14)</f>
        <v>1158</v>
      </c>
      <c r="E15" s="22">
        <f t="shared" si="1"/>
        <v>606</v>
      </c>
      <c r="F15" s="22">
        <f t="shared" si="1"/>
        <v>973</v>
      </c>
      <c r="G15" s="22">
        <f t="shared" si="1"/>
        <v>627</v>
      </c>
      <c r="H15" s="22">
        <f t="shared" si="1"/>
        <v>1135</v>
      </c>
      <c r="I15" s="22">
        <f t="shared" si="1"/>
        <v>863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M5:N5"/>
    <mergeCell ref="O5:P5"/>
    <mergeCell ref="B3:I3"/>
    <mergeCell ref="K3:R3"/>
    <mergeCell ref="B5:B6"/>
    <mergeCell ref="D5:E5"/>
    <mergeCell ref="F5:G5"/>
    <mergeCell ref="H5:I5"/>
    <mergeCell ref="K5:K6"/>
    <mergeCell ref="Q5:R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3" width="0.38"/>
    <col customWidth="1" min="4" max="4" width="2.0"/>
    <col customWidth="1" min="6" max="8" width="14.63"/>
    <col customWidth="1" min="10" max="10" width="20.63"/>
    <col customWidth="1" min="11" max="11" width="7.88"/>
    <col customWidth="1" min="12" max="12" width="9.63"/>
    <col customWidth="1" min="13" max="13" width="9.88"/>
  </cols>
  <sheetData>
    <row r="2">
      <c r="E2" s="23" t="s">
        <v>57</v>
      </c>
      <c r="J2" s="23" t="s">
        <v>58</v>
      </c>
    </row>
    <row r="4">
      <c r="E4" s="24" t="s">
        <v>41</v>
      </c>
      <c r="F4" s="24" t="s">
        <v>59</v>
      </c>
      <c r="G4" s="24" t="s">
        <v>60</v>
      </c>
      <c r="H4" s="24" t="s">
        <v>61</v>
      </c>
      <c r="J4" s="25" t="s">
        <v>62</v>
      </c>
      <c r="K4" s="26">
        <v>1.0</v>
      </c>
      <c r="L4" s="27"/>
      <c r="M4" s="16"/>
    </row>
    <row r="5">
      <c r="E5" s="21">
        <v>675.0</v>
      </c>
      <c r="F5" s="21">
        <v>200.0</v>
      </c>
      <c r="G5" s="21">
        <v>200.0</v>
      </c>
      <c r="H5" s="21">
        <v>200.0</v>
      </c>
      <c r="J5" s="25" t="s">
        <v>63</v>
      </c>
      <c r="K5" s="26" t="s">
        <v>64</v>
      </c>
      <c r="L5" s="27"/>
      <c r="M5" s="16"/>
    </row>
    <row r="6">
      <c r="E6" s="21">
        <v>611.0</v>
      </c>
      <c r="F6" s="21">
        <v>0.0</v>
      </c>
      <c r="G6" s="21">
        <v>0.0</v>
      </c>
      <c r="H6" s="21">
        <v>100.0</v>
      </c>
      <c r="J6" s="25" t="s">
        <v>65</v>
      </c>
      <c r="K6" s="26">
        <v>650.0</v>
      </c>
      <c r="L6" s="27"/>
      <c r="M6" s="16"/>
    </row>
    <row r="7">
      <c r="J7" s="25" t="s">
        <v>2</v>
      </c>
      <c r="K7" s="26" t="s">
        <v>66</v>
      </c>
      <c r="L7" s="27"/>
      <c r="M7" s="16"/>
    </row>
    <row r="8">
      <c r="J8" s="25" t="s">
        <v>67</v>
      </c>
      <c r="K8" s="26" t="s">
        <v>68</v>
      </c>
      <c r="L8" s="27"/>
      <c r="M8" s="16"/>
    </row>
    <row r="9">
      <c r="J9" s="25" t="s">
        <v>69</v>
      </c>
      <c r="K9" s="13" t="s">
        <v>43</v>
      </c>
      <c r="L9" s="13" t="s">
        <v>44</v>
      </c>
      <c r="M9" s="13" t="s">
        <v>45</v>
      </c>
    </row>
    <row r="10">
      <c r="J10" s="25" t="s">
        <v>70</v>
      </c>
      <c r="K10" s="13">
        <v>3.0</v>
      </c>
      <c r="L10" s="13">
        <v>3.0</v>
      </c>
      <c r="M10" s="13">
        <v>3.0</v>
      </c>
    </row>
    <row r="11">
      <c r="J11" s="25" t="s">
        <v>71</v>
      </c>
      <c r="K11" s="13">
        <v>9.0</v>
      </c>
      <c r="L11" s="13">
        <v>9.0</v>
      </c>
      <c r="M11" s="13">
        <v>9.0</v>
      </c>
    </row>
    <row r="12">
      <c r="J12" s="25" t="s">
        <v>72</v>
      </c>
      <c r="K12" s="13">
        <v>122.0</v>
      </c>
      <c r="L12" s="13">
        <v>122.0</v>
      </c>
      <c r="M12" s="13">
        <v>122.0</v>
      </c>
    </row>
  </sheetData>
  <mergeCells count="7">
    <mergeCell ref="K4:M4"/>
    <mergeCell ref="K5:M5"/>
    <mergeCell ref="K6:M6"/>
    <mergeCell ref="K7:M7"/>
    <mergeCell ref="K8:M8"/>
    <mergeCell ref="E2:H2"/>
    <mergeCell ref="J2:M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5"/>
    <col customWidth="1" min="2" max="2" width="5.13"/>
    <col customWidth="1" min="4" max="4" width="31.75"/>
    <col customWidth="1" min="5" max="5" width="5.13"/>
    <col customWidth="1" min="8" max="8" width="28.5"/>
    <col customWidth="1" min="9" max="9" width="24.13"/>
  </cols>
  <sheetData>
    <row r="4">
      <c r="A4" s="28"/>
      <c r="B4" s="28"/>
      <c r="C4" s="28"/>
      <c r="D4" s="28"/>
      <c r="E4" s="28"/>
      <c r="F4" s="28"/>
      <c r="G4" s="28"/>
      <c r="H4" s="28"/>
      <c r="I4" s="28"/>
    </row>
    <row r="5">
      <c r="A5" s="29" t="s">
        <v>73</v>
      </c>
      <c r="B5" s="16"/>
      <c r="C5" s="28"/>
      <c r="D5" s="30" t="s">
        <v>74</v>
      </c>
      <c r="E5" s="30"/>
      <c r="F5" s="28"/>
      <c r="G5" s="30" t="s">
        <v>75</v>
      </c>
      <c r="H5" s="30" t="s">
        <v>76</v>
      </c>
      <c r="I5" s="30" t="s">
        <v>77</v>
      </c>
    </row>
    <row r="6">
      <c r="A6" s="30" t="s">
        <v>78</v>
      </c>
      <c r="B6" s="31">
        <v>450.0</v>
      </c>
      <c r="C6" s="28"/>
      <c r="D6" s="30" t="s">
        <v>79</v>
      </c>
      <c r="E6" s="31">
        <v>1000.0</v>
      </c>
      <c r="F6" s="28"/>
      <c r="G6" s="32">
        <v>1.0</v>
      </c>
      <c r="H6" s="33">
        <v>-0.25</v>
      </c>
      <c r="I6" s="33">
        <v>0.0</v>
      </c>
    </row>
    <row r="7">
      <c r="A7" s="30" t="s">
        <v>80</v>
      </c>
      <c r="B7" s="31">
        <v>2250.0</v>
      </c>
      <c r="C7" s="28"/>
      <c r="D7" s="30" t="s">
        <v>81</v>
      </c>
      <c r="E7" s="31">
        <v>750.0</v>
      </c>
      <c r="F7" s="28"/>
      <c r="G7" s="32">
        <v>2.0</v>
      </c>
      <c r="H7" s="33">
        <v>-1.0</v>
      </c>
      <c r="I7" s="33">
        <v>0.0</v>
      </c>
    </row>
    <row r="8">
      <c r="A8" s="28"/>
      <c r="B8" s="28"/>
      <c r="C8" s="28"/>
      <c r="D8" s="28"/>
      <c r="E8" s="28"/>
      <c r="F8" s="28"/>
      <c r="G8" s="32">
        <f>2+1</f>
        <v>3</v>
      </c>
      <c r="H8" s="33">
        <v>0.0</v>
      </c>
      <c r="I8" s="33">
        <v>0.0</v>
      </c>
    </row>
    <row r="9">
      <c r="A9" s="28"/>
      <c r="B9" s="28"/>
      <c r="C9" s="28"/>
      <c r="D9" s="28"/>
      <c r="E9" s="28"/>
      <c r="F9" s="28"/>
      <c r="G9" s="32">
        <f t="shared" ref="G9:G29" si="1">G8+1</f>
        <v>4</v>
      </c>
      <c r="H9" s="33">
        <v>-0.5</v>
      </c>
      <c r="I9" s="33">
        <v>0.0</v>
      </c>
    </row>
    <row r="10">
      <c r="A10" s="28"/>
      <c r="B10" s="28"/>
      <c r="C10" s="28"/>
      <c r="D10" s="28"/>
      <c r="E10" s="28"/>
      <c r="F10" s="28"/>
      <c r="G10" s="32">
        <f t="shared" si="1"/>
        <v>5</v>
      </c>
      <c r="H10" s="33">
        <v>-1.0</v>
      </c>
      <c r="I10" s="33">
        <v>0.0</v>
      </c>
    </row>
    <row r="11">
      <c r="A11" s="28"/>
      <c r="B11" s="28"/>
      <c r="C11" s="28"/>
      <c r="D11" s="28"/>
      <c r="E11" s="28"/>
      <c r="F11" s="28"/>
      <c r="G11" s="32">
        <f t="shared" si="1"/>
        <v>6</v>
      </c>
      <c r="H11" s="33">
        <v>-0.25</v>
      </c>
      <c r="I11" s="33">
        <v>0.0</v>
      </c>
    </row>
    <row r="12">
      <c r="A12" s="28"/>
      <c r="B12" s="28"/>
      <c r="C12" s="28"/>
      <c r="D12" s="28"/>
      <c r="E12" s="28"/>
      <c r="F12" s="28"/>
      <c r="G12" s="32">
        <f t="shared" si="1"/>
        <v>7</v>
      </c>
      <c r="H12" s="33">
        <v>0.0</v>
      </c>
      <c r="I12" s="33">
        <v>0.1</v>
      </c>
    </row>
    <row r="13">
      <c r="A13" s="28"/>
      <c r="B13" s="28"/>
      <c r="C13" s="28"/>
      <c r="D13" s="28"/>
      <c r="E13" s="28"/>
      <c r="F13" s="28"/>
      <c r="G13" s="32">
        <f t="shared" si="1"/>
        <v>8</v>
      </c>
      <c r="H13" s="33">
        <v>0.1</v>
      </c>
      <c r="I13" s="33">
        <v>0.2</v>
      </c>
    </row>
    <row r="14">
      <c r="A14" s="28"/>
      <c r="B14" s="28"/>
      <c r="C14" s="28"/>
      <c r="D14" s="28"/>
      <c r="E14" s="28"/>
      <c r="F14" s="28"/>
      <c r="G14" s="32">
        <f t="shared" si="1"/>
        <v>9</v>
      </c>
      <c r="H14" s="33">
        <v>0.0</v>
      </c>
      <c r="I14" s="33">
        <v>0.3</v>
      </c>
    </row>
    <row r="15">
      <c r="A15" s="28"/>
      <c r="B15" s="28"/>
      <c r="C15" s="28"/>
      <c r="D15" s="28"/>
      <c r="E15" s="28"/>
      <c r="F15" s="28"/>
      <c r="G15" s="32">
        <f t="shared" si="1"/>
        <v>10</v>
      </c>
      <c r="H15" s="33">
        <v>-0.3</v>
      </c>
      <c r="I15" s="33">
        <v>0.5</v>
      </c>
    </row>
    <row r="16">
      <c r="A16" s="28"/>
      <c r="B16" s="28"/>
      <c r="C16" s="28"/>
      <c r="D16" s="28"/>
      <c r="E16" s="28"/>
      <c r="F16" s="28"/>
      <c r="G16" s="32">
        <f t="shared" si="1"/>
        <v>11</v>
      </c>
      <c r="H16" s="33">
        <v>0.0</v>
      </c>
      <c r="I16" s="33">
        <v>0.8</v>
      </c>
    </row>
    <row r="17">
      <c r="A17" s="28"/>
      <c r="B17" s="28"/>
      <c r="C17" s="28"/>
      <c r="D17" s="28"/>
      <c r="E17" s="28"/>
      <c r="F17" s="28"/>
      <c r="G17" s="32">
        <f t="shared" si="1"/>
        <v>12</v>
      </c>
      <c r="H17" s="33">
        <v>-0.25</v>
      </c>
      <c r="I17" s="33">
        <v>0.9</v>
      </c>
    </row>
    <row r="18">
      <c r="A18" s="28"/>
      <c r="B18" s="28"/>
      <c r="C18" s="28"/>
      <c r="D18" s="28"/>
      <c r="E18" s="28"/>
      <c r="F18" s="28"/>
      <c r="G18" s="32">
        <f t="shared" si="1"/>
        <v>13</v>
      </c>
      <c r="H18" s="33">
        <v>-0.9</v>
      </c>
      <c r="I18" s="33">
        <v>1.0</v>
      </c>
    </row>
    <row r="19">
      <c r="A19" s="28"/>
      <c r="B19" s="28"/>
      <c r="C19" s="28"/>
      <c r="D19" s="28"/>
      <c r="E19" s="28"/>
      <c r="F19" s="28"/>
      <c r="G19" s="32">
        <f t="shared" si="1"/>
        <v>14</v>
      </c>
      <c r="H19" s="33">
        <v>-0.9</v>
      </c>
      <c r="I19" s="33">
        <v>1.0</v>
      </c>
    </row>
    <row r="20">
      <c r="A20" s="28"/>
      <c r="B20" s="28"/>
      <c r="C20" s="28"/>
      <c r="D20" s="28"/>
      <c r="E20" s="28"/>
      <c r="F20" s="28"/>
      <c r="G20" s="32">
        <f t="shared" si="1"/>
        <v>15</v>
      </c>
      <c r="H20" s="33">
        <v>0.3</v>
      </c>
      <c r="I20" s="33">
        <v>0.99</v>
      </c>
    </row>
    <row r="21">
      <c r="A21" s="28"/>
      <c r="B21" s="28"/>
      <c r="C21" s="28"/>
      <c r="D21" s="28"/>
      <c r="E21" s="28"/>
      <c r="F21" s="28"/>
      <c r="G21" s="32">
        <f t="shared" si="1"/>
        <v>16</v>
      </c>
      <c r="H21" s="33">
        <v>0.0</v>
      </c>
      <c r="I21" s="33">
        <v>0.9</v>
      </c>
    </row>
    <row r="22">
      <c r="A22" s="28"/>
      <c r="B22" s="28"/>
      <c r="C22" s="28"/>
      <c r="D22" s="28"/>
      <c r="E22" s="28"/>
      <c r="F22" s="28"/>
      <c r="G22" s="32">
        <f t="shared" si="1"/>
        <v>17</v>
      </c>
      <c r="H22" s="33">
        <v>0.0</v>
      </c>
      <c r="I22" s="33">
        <v>0.7</v>
      </c>
    </row>
    <row r="23">
      <c r="A23" s="28"/>
      <c r="B23" s="28"/>
      <c r="C23" s="28"/>
      <c r="D23" s="28"/>
      <c r="E23" s="28"/>
      <c r="F23" s="28"/>
      <c r="G23" s="32">
        <f t="shared" si="1"/>
        <v>18</v>
      </c>
      <c r="H23" s="33">
        <v>-0.8</v>
      </c>
      <c r="I23" s="33">
        <v>0.4</v>
      </c>
    </row>
    <row r="24">
      <c r="A24" s="28"/>
      <c r="B24" s="28"/>
      <c r="C24" s="28"/>
      <c r="D24" s="28"/>
      <c r="E24" s="28"/>
      <c r="F24" s="28"/>
      <c r="G24" s="32">
        <f t="shared" si="1"/>
        <v>19</v>
      </c>
      <c r="H24" s="33">
        <v>0.0</v>
      </c>
      <c r="I24" s="33">
        <v>0.1</v>
      </c>
    </row>
    <row r="25">
      <c r="A25" s="28"/>
      <c r="B25" s="28"/>
      <c r="C25" s="28"/>
      <c r="D25" s="28"/>
      <c r="E25" s="28"/>
      <c r="F25" s="28"/>
      <c r="G25" s="32">
        <f t="shared" si="1"/>
        <v>20</v>
      </c>
      <c r="H25" s="33">
        <v>0.4</v>
      </c>
      <c r="I25" s="33">
        <v>0.0</v>
      </c>
    </row>
    <row r="26">
      <c r="A26" s="28"/>
      <c r="B26" s="28"/>
      <c r="C26" s="28"/>
      <c r="D26" s="28"/>
      <c r="E26" s="28"/>
      <c r="F26" s="28"/>
      <c r="G26" s="32">
        <f t="shared" si="1"/>
        <v>21</v>
      </c>
      <c r="H26" s="33">
        <v>0.98</v>
      </c>
      <c r="I26" s="33">
        <v>0.0</v>
      </c>
    </row>
    <row r="27">
      <c r="A27" s="28"/>
      <c r="B27" s="28"/>
      <c r="C27" s="28"/>
      <c r="D27" s="28"/>
      <c r="E27" s="28"/>
      <c r="F27" s="28"/>
      <c r="G27" s="32">
        <f t="shared" si="1"/>
        <v>22</v>
      </c>
      <c r="H27" s="33">
        <v>-0.1</v>
      </c>
      <c r="I27" s="33">
        <v>0.0</v>
      </c>
    </row>
    <row r="28">
      <c r="A28" s="28"/>
      <c r="B28" s="28"/>
      <c r="C28" s="28"/>
      <c r="D28" s="28"/>
      <c r="E28" s="28"/>
      <c r="F28" s="28"/>
      <c r="G28" s="32">
        <f t="shared" si="1"/>
        <v>23</v>
      </c>
      <c r="H28" s="33">
        <v>-1.0</v>
      </c>
      <c r="I28" s="33">
        <v>0.0</v>
      </c>
    </row>
    <row r="29">
      <c r="A29" s="28"/>
      <c r="B29" s="28"/>
      <c r="C29" s="28"/>
      <c r="D29" s="28"/>
      <c r="E29" s="28"/>
      <c r="F29" s="28"/>
      <c r="G29" s="32">
        <f t="shared" si="1"/>
        <v>24</v>
      </c>
      <c r="H29" s="33">
        <v>-1.0</v>
      </c>
      <c r="I29" s="33">
        <v>0.0</v>
      </c>
    </row>
    <row r="30">
      <c r="A30" s="28"/>
      <c r="B30" s="28"/>
      <c r="C30" s="28"/>
      <c r="D30" s="28"/>
      <c r="E30" s="28"/>
      <c r="F30" s="28"/>
      <c r="G30" s="28"/>
      <c r="H30" s="28"/>
      <c r="I30" s="28"/>
    </row>
    <row r="31">
      <c r="A31" s="28"/>
      <c r="B31" s="28"/>
      <c r="C31" s="28"/>
      <c r="D31" s="28"/>
      <c r="E31" s="28"/>
      <c r="F31" s="28"/>
      <c r="G31" s="28"/>
      <c r="H31" s="28"/>
      <c r="I31" s="28"/>
    </row>
    <row r="32">
      <c r="A32" s="28"/>
      <c r="B32" s="28"/>
      <c r="C32" s="28"/>
      <c r="D32" s="28"/>
      <c r="E32" s="28"/>
      <c r="F32" s="28"/>
      <c r="G32" s="28"/>
      <c r="H32" s="28"/>
      <c r="I32" s="28"/>
    </row>
    <row r="33">
      <c r="A33" s="28"/>
      <c r="B33" s="28"/>
      <c r="C33" s="28"/>
      <c r="D33" s="28"/>
      <c r="E33" s="28"/>
      <c r="F33" s="28"/>
      <c r="G33" s="28"/>
      <c r="H33" s="28"/>
      <c r="I33" s="28"/>
    </row>
    <row r="34">
      <c r="A34" s="28"/>
      <c r="B34" s="28"/>
      <c r="C34" s="28"/>
      <c r="D34" s="28"/>
      <c r="E34" s="28"/>
      <c r="F34" s="28"/>
      <c r="G34" s="28"/>
      <c r="H34" s="28"/>
      <c r="I34" s="28"/>
    </row>
    <row r="35">
      <c r="A35" s="28"/>
      <c r="B35" s="28"/>
      <c r="C35" s="28"/>
      <c r="D35" s="28"/>
      <c r="E35" s="28"/>
      <c r="F35" s="28"/>
      <c r="G35" s="28"/>
      <c r="H35" s="28"/>
      <c r="I35" s="28"/>
    </row>
    <row r="36">
      <c r="A36" s="28"/>
      <c r="B36" s="28"/>
      <c r="C36" s="28"/>
      <c r="D36" s="28"/>
      <c r="E36" s="28"/>
      <c r="F36" s="28"/>
      <c r="G36" s="28"/>
      <c r="H36" s="28"/>
      <c r="I36" s="28"/>
    </row>
    <row r="37">
      <c r="A37" s="28"/>
      <c r="B37" s="28"/>
      <c r="C37" s="28"/>
      <c r="D37" s="28"/>
      <c r="E37" s="28"/>
      <c r="F37" s="28"/>
      <c r="G37" s="28"/>
      <c r="H37" s="28"/>
      <c r="I37" s="28"/>
    </row>
    <row r="38">
      <c r="A38" s="28"/>
      <c r="B38" s="28"/>
      <c r="C38" s="28"/>
      <c r="D38" s="28"/>
      <c r="E38" s="28"/>
      <c r="F38" s="28"/>
      <c r="G38" s="28"/>
      <c r="H38" s="28"/>
      <c r="I38" s="28"/>
    </row>
    <row r="39">
      <c r="A39" s="28"/>
      <c r="B39" s="28"/>
      <c r="C39" s="28"/>
      <c r="D39" s="28"/>
      <c r="E39" s="28"/>
      <c r="F39" s="28"/>
      <c r="G39" s="28"/>
      <c r="H39" s="28"/>
      <c r="I39" s="28"/>
    </row>
    <row r="40">
      <c r="A40" s="28"/>
      <c r="B40" s="28"/>
      <c r="C40" s="28"/>
      <c r="D40" s="28"/>
      <c r="E40" s="28"/>
      <c r="F40" s="28"/>
      <c r="G40" s="28"/>
      <c r="H40" s="28"/>
      <c r="I40" s="28"/>
    </row>
    <row r="41">
      <c r="A41" s="28"/>
      <c r="B41" s="28"/>
      <c r="C41" s="28"/>
      <c r="D41" s="28"/>
      <c r="E41" s="28"/>
      <c r="F41" s="28"/>
      <c r="G41" s="28"/>
      <c r="H41" s="28"/>
      <c r="I41" s="28"/>
    </row>
    <row r="42">
      <c r="A42" s="28"/>
      <c r="B42" s="28"/>
      <c r="C42" s="28"/>
      <c r="D42" s="28"/>
      <c r="E42" s="28"/>
      <c r="F42" s="28"/>
      <c r="G42" s="28"/>
      <c r="H42" s="28"/>
      <c r="I42" s="28"/>
    </row>
    <row r="43">
      <c r="A43" s="28"/>
      <c r="B43" s="28"/>
      <c r="C43" s="28"/>
      <c r="D43" s="28"/>
      <c r="E43" s="28"/>
      <c r="F43" s="28"/>
      <c r="G43" s="28"/>
      <c r="H43" s="28"/>
      <c r="I43" s="28"/>
    </row>
    <row r="44">
      <c r="A44" s="28"/>
      <c r="B44" s="28"/>
      <c r="C44" s="28"/>
      <c r="D44" s="28"/>
      <c r="E44" s="28"/>
      <c r="F44" s="28"/>
      <c r="G44" s="28"/>
      <c r="H44" s="28"/>
      <c r="I44" s="28"/>
    </row>
  </sheetData>
  <mergeCells count="1">
    <mergeCell ref="A5:B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2021-09-18T02:18:31Z</dcterms:created>
  <dc:creator>USER</dc:creator>
</cp:coreProperties>
</file>